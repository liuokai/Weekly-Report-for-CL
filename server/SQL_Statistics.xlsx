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5219A478-E150-3746-B036-77488AED4EED}" xr6:coauthVersionLast="47" xr6:coauthVersionMax="47" xr10:uidLastSave="{00000000-0000-0000-0000-000000000000}"/>
  <bookViews>
    <workbookView xWindow="28800" yWindow="600" windowWidth="38400" windowHeight="21000" xr2:uid="{00000000-000D-0000-FFFF-FFFF00000000}"/>
  </bookViews>
  <sheets>
    <sheet name="SQL Statistics" sheetId="1" r:id="rId1"/>
  </sheets>
  <externalReferences>
    <externalReference r:id="rId2"/>
  </externalReferences>
  <definedNames>
    <definedName name="_xlnm._FilterDatabase" localSheetId="0" hidden="1">'SQL Statistics'!$E$1:$H$62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2" i="1"/>
  <c r="G8" i="1" l="1"/>
  <c r="H8" i="1" s="1"/>
  <c r="G60" i="1"/>
  <c r="H60" i="1" s="1"/>
  <c r="G2" i="1"/>
  <c r="H2" i="1" s="1"/>
  <c r="G55" i="1"/>
  <c r="H55" i="1" s="1"/>
  <c r="G47" i="1"/>
  <c r="H47" i="1" s="1"/>
  <c r="G39" i="1"/>
  <c r="H39" i="1" s="1"/>
  <c r="G31" i="1"/>
  <c r="H31" i="1" s="1"/>
  <c r="G23" i="1"/>
  <c r="H23" i="1" s="1"/>
  <c r="G15" i="1"/>
  <c r="H15" i="1" s="1"/>
  <c r="G7" i="1"/>
  <c r="H7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6" i="1"/>
  <c r="H6" i="1" s="1"/>
  <c r="G61" i="1"/>
  <c r="H61" i="1" s="1"/>
  <c r="G53" i="1"/>
  <c r="H53" i="1" s="1"/>
  <c r="G45" i="1"/>
  <c r="H45" i="1" s="1"/>
  <c r="G37" i="1"/>
  <c r="H37" i="1" s="1"/>
  <c r="G29" i="1"/>
  <c r="H29" i="1" s="1"/>
  <c r="G21" i="1"/>
  <c r="H21" i="1" s="1"/>
  <c r="G13" i="1"/>
  <c r="H13" i="1" s="1"/>
  <c r="G5" i="1"/>
  <c r="H5" i="1" s="1"/>
  <c r="G44" i="1"/>
  <c r="H44" i="1" s="1"/>
  <c r="G28" i="1"/>
  <c r="H28" i="1" s="1"/>
  <c r="G20" i="1"/>
  <c r="H20" i="1" s="1"/>
  <c r="G12" i="1"/>
  <c r="H12" i="1" s="1"/>
  <c r="G4" i="1"/>
  <c r="H4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1" i="1"/>
  <c r="H11" i="1" s="1"/>
  <c r="G3" i="1"/>
  <c r="H3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H18" i="1" s="1"/>
  <c r="G10" i="1"/>
  <c r="H10" i="1" s="1"/>
  <c r="G52" i="1"/>
  <c r="H52" i="1" s="1"/>
  <c r="G36" i="1"/>
  <c r="H36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56" i="1"/>
  <c r="H56" i="1" s="1"/>
  <c r="G48" i="1"/>
  <c r="H48" i="1" s="1"/>
  <c r="G40" i="1"/>
  <c r="H40" i="1" s="1"/>
  <c r="G32" i="1"/>
  <c r="H32" i="1" s="1"/>
  <c r="G24" i="1"/>
  <c r="H24" i="1" s="1"/>
  <c r="G16" i="1"/>
  <c r="H16" i="1" s="1"/>
</calcChain>
</file>

<file path=xl/sharedStrings.xml><?xml version="1.0" encoding="utf-8"?>
<sst xmlns="http://schemas.openxmlformats.org/spreadsheetml/2006/main" count="128" uniqueCount="128">
  <si>
    <t>sql 文件名</t>
  </si>
  <si>
    <t>active_review_rates_city_monthly_yoy.sql</t>
  </si>
  <si>
    <t>active_review_rates_monthly_yoy.sql</t>
  </si>
  <si>
    <t>active_review_rates_store_monthly_yoy.sql</t>
  </si>
  <si>
    <t>active_user_city_monthly_yoy.sql</t>
  </si>
  <si>
    <t>active_user_monthly_yoy.sql</t>
  </si>
  <si>
    <t>active_user_store_monthly_yoy.sql</t>
  </si>
  <si>
    <t>avg_order_value_annual_yoy.sql</t>
  </si>
  <si>
    <t>avg_order_value_city_annual_yoy.sql</t>
  </si>
  <si>
    <t>avg_order_value_city_weekly_ytd_yoy.sql</t>
  </si>
  <si>
    <t>avg_order_value_store_weekly_ytd_yoy.sql</t>
  </si>
  <si>
    <t>avg_order_value_weekly_yoy.sql</t>
  </si>
  <si>
    <t>avg_order_value_weekly_ytd_yoy.sql</t>
  </si>
  <si>
    <t>bed_to_staff_ratio_annual.sql</t>
  </si>
  <si>
    <t>bed_to_staff_ratio_city_annual.sql</t>
  </si>
  <si>
    <t>bed_to_staff_ratio_city_weekly.sql</t>
  </si>
  <si>
    <t>bed_to_staff_ratio_store_annual.sql</t>
  </si>
  <si>
    <t>bed_to_staff_ratio_weekly.sql</t>
  </si>
  <si>
    <t>cash_flow_budget.sql</t>
  </si>
  <si>
    <t>cash_flow_capital_safety_line.sql</t>
  </si>
  <si>
    <t>cash_flow_closing_warning.sql</t>
  </si>
  <si>
    <t>cash_flow_continuous_loss.sql</t>
  </si>
  <si>
    <t>cash_flow_new_store_and_cashflow_operation.sql</t>
  </si>
  <si>
    <t>cash_flow_new_store_operation_status.sql</t>
  </si>
  <si>
    <t>cash_flow_new_store_process.sql</t>
  </si>
  <si>
    <t>cash_flow_new_store_supply.sql</t>
  </si>
  <si>
    <t>employee_output_standard_rate_city_monthly.sql</t>
  </si>
  <si>
    <t>employee_output_standard_rate_monthly.sql</t>
  </si>
  <si>
    <t>employee_output_standard_rate_store_monthly.sql</t>
  </si>
  <si>
    <t>member_churn_rate_city_monthly_yoy.sql</t>
  </si>
  <si>
    <t>member_churn_rate_monthly_yoy.sql</t>
  </si>
  <si>
    <t>member_churn_rate_store_monthly_yoy.sql</t>
  </si>
  <si>
    <t>profit_store_detail_monthly.sql</t>
  </si>
  <si>
    <t>profit_weekly.sql</t>
  </si>
  <si>
    <t>profit_yearly.sql</t>
  </si>
  <si>
    <t>repurchase_rate_annual_yoy.sql</t>
  </si>
  <si>
    <t>repurchase_rate_weekly_yoy.sql</t>
  </si>
  <si>
    <t>staff_avg_daily_service_duration_city_monthly_yoy.sql</t>
  </si>
  <si>
    <t>staff_avg_daily_service_duration_monthly_yoy.sql</t>
  </si>
  <si>
    <t>staff_avg_daily_service_duration_store_monthly_yoy.sql</t>
  </si>
  <si>
    <t>staff_return_compliance_annual.sql</t>
  </si>
  <si>
    <t>staff_return_compliance_city_annual.sql</t>
  </si>
  <si>
    <t>staff_return_compliance_city_monthly.sql</t>
  </si>
  <si>
    <t>staff_return_compliance_monthly.sql</t>
  </si>
  <si>
    <t>staff_return_compliance_store_annual.sql</t>
  </si>
  <si>
    <t>staff_service_duration_below_standard_city_monthly.sql</t>
  </si>
  <si>
    <t>staff_service_duration_below_standard_monthly.sql</t>
  </si>
  <si>
    <t>staff_service_duration_below_standard_store_monthly.sql</t>
  </si>
  <si>
    <t>turnover_city_actual_target.sql</t>
  </si>
  <si>
    <t>turnover_overview.sql</t>
  </si>
  <si>
    <t>turnover_weekly.sql</t>
  </si>
  <si>
    <t>turnover_weekly_avg_per_day_yoy.sql</t>
  </si>
  <si>
    <t>turnover_weekly_city_cum_yoy.sql</t>
  </si>
  <si>
    <t>turnover_weekly_city_per_day_yoy.sql</t>
  </si>
  <si>
    <t>turnover_weekly_city_yoy.sql</t>
  </si>
  <si>
    <t>turnover_weekly_cum_yoy.sql</t>
  </si>
  <si>
    <t>turnover_weekly_store_yoy.sql</t>
  </si>
  <si>
    <t>user_visit_count_annual.sql</t>
  </si>
  <si>
    <t>user_visit_count_cum_monthly.sql</t>
  </si>
  <si>
    <t>user_visit_count_daily_avg_visit_monthly.sql</t>
  </si>
  <si>
    <t>repurchase_rate_city_weekly_yoy.sql</t>
    <phoneticPr fontId="2" type="noConversion"/>
  </si>
  <si>
    <t>repurchase_rate_store_weekly_yoy.sql</t>
    <phoneticPr fontId="2" type="noConversion"/>
  </si>
  <si>
    <t>ads_mgt_report_cashflow_cash_flow_closing_warning</t>
  </si>
  <si>
    <t>ads_mgt_report_cashflow_cash_flow_continuous_loss</t>
  </si>
  <si>
    <t>ads_mgt_report_turnover_member_churn_rate_monthly_yoy</t>
  </si>
  <si>
    <t>ads_mgt_report_turnover_staff_avg_svc_dur_m_yoy</t>
  </si>
  <si>
    <t>ads_mgt_report_turnover_staff_svc_dur_below_std_m</t>
  </si>
  <si>
    <t>ads_mgt_report_turnover_turnover_weekly_avg_per_day_yoy</t>
  </si>
  <si>
    <t>ads_mgt_report_turnover_turnover_weekly_cum_yoy</t>
  </si>
  <si>
    <t>ads_mgt_report_turnover_turnover_weekly</t>
  </si>
  <si>
    <t>ads_mgt_report_turnover_avg_order_value_weekly_ytd_yoy</t>
  </si>
  <si>
    <t>ads_mgt_report_turnover_bed_to_staff_ratio_city_annual</t>
  </si>
  <si>
    <t>ads_mgt_report_cf_new_store_op</t>
  </si>
  <si>
    <t>ads_mgt_report_cashflow_cash_flow_new_store_process</t>
  </si>
  <si>
    <t>ads_mgt_report_turnover_emp_out_std_rate_city_m</t>
  </si>
  <si>
    <t>ads_mgt_report_turnover_employee_output_standard_rate_monthly</t>
  </si>
  <si>
    <t>ads_mgt_report_turnover_member_churn_rate_city_monthly_yoy</t>
  </si>
  <si>
    <t>ads_mgt_report_turnover_repurchase_rate_annual_yoy</t>
  </si>
  <si>
    <t>ads_mgt_report_turnover_repurchase_rate_city_weekly_yoy</t>
  </si>
  <si>
    <t>ads_mgt_report_turnover_staff_return_compliance_annual</t>
  </si>
  <si>
    <t>ads_mgt_report_turnover_staff_return_compliance_city_monthly</t>
  </si>
  <si>
    <t>ads_mgt_report_turnover_staff_return_compliance_store_annual</t>
  </si>
  <si>
    <t>ads_mgt_report_turnover_staff_svc_dur_below_std_store_m</t>
  </si>
  <si>
    <t>ads_mgt_report_turnover_turnover_weekly_city_cum_yoy</t>
  </si>
  <si>
    <t>ads_mgt_report_turnover_turnover_weekly_city_per_day_yoy</t>
  </si>
  <si>
    <t>ads_mgt_report_turnover_active_user_city_monthly_yoy</t>
  </si>
  <si>
    <t>ads_mgt_report_turnover_avg_order_value_annual_yoy</t>
  </si>
  <si>
    <t>ads_mgt_report_turnover_bed_to_staff_ratio_annual</t>
  </si>
  <si>
    <t>ads_mgt_report_turnover_user_visit_count_daily_avg_visit_monthly</t>
  </si>
  <si>
    <t>ads_mgt_report_turnover_repurchase_rate_store_weekly_yoy</t>
  </si>
  <si>
    <t>ads_mgt_report_turnover_repurchase_rate_weekly_yoy</t>
  </si>
  <si>
    <t>ads_mgt_report_turnover_turnover_weekly_city_yoy</t>
  </si>
  <si>
    <t>ads_mgt_report_profit_profit_weekly</t>
  </si>
  <si>
    <t>ads_mgt_report_turnover_active_user_monthly_yoy</t>
  </si>
  <si>
    <t>ads_mgt_report_turnover_bed_to_staff_ratio_city_weekly</t>
  </si>
  <si>
    <t>ads_mgt_report_cashflow_cash_flow_new_store_supply</t>
  </si>
  <si>
    <t>ads_mgt_report_turnover_active_review_rates_monthly_yoy</t>
  </si>
  <si>
    <t>ads_mgt_report_turnover_active_user_store_monthly_yoy</t>
  </si>
  <si>
    <t>ads_mgt_report_turnover_avg_order_value_weekly_yoy</t>
  </si>
  <si>
    <t>ads_mgt_report_turnover_bed_to_staff_ratio_weekly</t>
  </si>
  <si>
    <t>ads_mgt_report_turnover_turnover_weekly_store_yoy</t>
  </si>
  <si>
    <t>ads_mgt_report_turnover_avg_order_value_store_weekly_ytd_yoy</t>
  </si>
  <si>
    <t>ads_mgt_report_turnover_staff_svc_dur_below_std_city_m</t>
  </si>
  <si>
    <t>ads_mgt_report_turnover_turnover_city_actual_target</t>
  </si>
  <si>
    <t>ads_mgt_report_turnover_user_visit_count_cum_monthly</t>
  </si>
  <si>
    <t>ads_mgt_report_turnover_staff_return_compliance_monthly</t>
  </si>
  <si>
    <t>ads_mgt_report_turnover_turnover_overview</t>
  </si>
  <si>
    <t>ads_mgt_report_turnover_member_churn_rate_store_monthly_yoy</t>
  </si>
  <si>
    <t>ads_mgt_report_turnover_emp_out_std_rate_store_m</t>
  </si>
  <si>
    <t>ads_mgt_report_turnover_bed_to_staff_ratio_store_annual</t>
  </si>
  <si>
    <t>ads_mgt_report_cashflow_cash_flow_budget</t>
  </si>
  <si>
    <t>ads_mgt_report_cashflow_cash_flow_capital_safety_line</t>
  </si>
  <si>
    <t>ads_mgt_report_profit_profit_store_detail_monthly</t>
  </si>
  <si>
    <t>ads_mgt_report_turnover_user_visit_count_annual</t>
  </si>
  <si>
    <t>ads_mgt_report_turnover_active_review_rates_store_monthly_yoy</t>
  </si>
  <si>
    <t>ads_mgt_report_turnover_avg_order_value_city_annual_yoy</t>
  </si>
  <si>
    <t>ads_mgt_report_turnover_avg_order_value_city_weekly_ytd_yoy</t>
  </si>
  <si>
    <t>ads_mgt_report_cashflow_cash_flow_new_store_operation_status</t>
  </si>
  <si>
    <t>ads_mgt_report_profit_profit_yearly</t>
  </si>
  <si>
    <t>ads_mgt_report_turnover_active_review_rates_city_monthly_yoy</t>
  </si>
  <si>
    <t>ads_mgt_report_turnover_staff_return_compliance_city_annual</t>
  </si>
  <si>
    <t>ads_mgt_report_turnover_staff_avg_svc_dur_city_m_yoy</t>
  </si>
  <si>
    <t>通过 Trae 得到的结果</t>
    <phoneticPr fontId="2" type="noConversion"/>
  </si>
  <si>
    <t>是否一致</t>
    <phoneticPr fontId="2" type="noConversion"/>
  </si>
  <si>
    <t>ads_mgt_report_turnover_staff_avg_svc_dur_store_m_yoy</t>
    <phoneticPr fontId="2" type="noConversion"/>
  </si>
  <si>
    <t>通过执行数仓表得到的结果</t>
    <phoneticPr fontId="2" type="noConversion"/>
  </si>
  <si>
    <t>数仓表</t>
    <phoneticPr fontId="2" type="noConversion"/>
  </si>
  <si>
    <t>直接查 SQL 得到的数据条数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</si>
</sst>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esktop/sql_scripts_list.xlsx" TargetMode="External"/><Relationship Id="rId2" Type="http://schemas.openxmlformats.org/officeDocument/2006/relationships/externalLinkPath" Target="/Users/kailiu/Desktop/sql_scripts_list.xlsx" TargetMode="External"/><Relationship Id="rId1" Type="http://schemas.openxmlformats.org/officeDocument/2006/relationships/externalLinkPath" Target="/Users/kailiu/Desktop/sql_scripts_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QL脚本清单"/>
    </sheetNames>
    <sheetDataSet>
      <sheetData sheetId="0">
        <row r="1">
          <cell r="B1" t="str">
            <v>SQL 文件名称</v>
          </cell>
          <cell r="C1" t="str">
            <v>数仓最终表名</v>
          </cell>
        </row>
        <row r="2">
          <cell r="B2" t="str">
            <v>active_review_rates_city_monthly_yoy.sql</v>
          </cell>
          <cell r="C2" t="str">
            <v>ads_mgt_report_turnover_active_review_rates_city_monthly_yoy</v>
          </cell>
        </row>
        <row r="3">
          <cell r="B3" t="str">
            <v>active_review_rates_monthly_yoy.sql</v>
          </cell>
          <cell r="C3" t="str">
            <v>ads_mgt_report_turnover_active_review_rates_monthly_yoy</v>
          </cell>
        </row>
        <row r="4">
          <cell r="B4" t="str">
            <v>active_review_rates_store_monthly_yoy.sql</v>
          </cell>
          <cell r="C4" t="str">
            <v>ads_mgt_report_turnover_active_review_rates_store_monthly_yoy</v>
          </cell>
        </row>
        <row r="5">
          <cell r="B5" t="str">
            <v>active_user_city_monthly_yoy.sql</v>
          </cell>
          <cell r="C5" t="str">
            <v>ads_mgt_report_turnover_active_user_city_monthly_yoy</v>
          </cell>
        </row>
        <row r="6">
          <cell r="B6" t="str">
            <v>active_user_monthly_yoy.sql</v>
          </cell>
          <cell r="C6" t="str">
            <v>ads_mgt_report_turnover_active_user_monthly_yoy</v>
          </cell>
        </row>
        <row r="7">
          <cell r="B7" t="str">
            <v>active_user_store_monthly_yoy.sql</v>
          </cell>
          <cell r="C7" t="str">
            <v>ads_mgt_report_turnover_active_user_store_monthly_yoy</v>
          </cell>
        </row>
        <row r="8">
          <cell r="B8" t="str">
            <v>avg_order_value_annual_yoy.sql</v>
          </cell>
          <cell r="C8" t="str">
            <v>ads_mgt_report_turnover_avg_order_value_annual_yoy</v>
          </cell>
        </row>
        <row r="9">
          <cell r="B9" t="str">
            <v>avg_order_value_city_annual_yoy.sql</v>
          </cell>
          <cell r="C9" t="str">
            <v>ads_mgt_report_turnover_avg_order_value_city_annual_yoy</v>
          </cell>
        </row>
        <row r="10">
          <cell r="B10" t="str">
            <v>avg_order_value_city_weekly_ytd_yoy.sql</v>
          </cell>
          <cell r="C10" t="str">
            <v>ads_mgt_report_turnover_avg_order_value_city_weekly_ytd_yoy</v>
          </cell>
        </row>
        <row r="11">
          <cell r="B11" t="str">
            <v>avg_order_value_store_weekly_ytd_yoy.sql</v>
          </cell>
          <cell r="C11" t="str">
            <v>ads_mgt_report_turnover_avg_order_value_store_weekly_ytd_yoy</v>
          </cell>
        </row>
        <row r="12">
          <cell r="B12" t="str">
            <v>avg_order_value_weekly_yoy.sql</v>
          </cell>
          <cell r="C12" t="str">
            <v>ads_mgt_report_turnover_avg_order_value_weekly_yoy</v>
          </cell>
        </row>
        <row r="13">
          <cell r="B13" t="str">
            <v>avg_order_value_weekly_ytd_yoy.sql</v>
          </cell>
          <cell r="C13" t="str">
            <v>ads_mgt_report_turnover_avg_order_value_weekly_ytd_yoy</v>
          </cell>
        </row>
        <row r="14">
          <cell r="B14" t="str">
            <v>bed_to_staff_ratio_annual.sql</v>
          </cell>
          <cell r="C14" t="str">
            <v>ads_mgt_report_turnover_bed_to_staff_ratio_annual</v>
          </cell>
        </row>
        <row r="15">
          <cell r="B15" t="str">
            <v>bed_to_staff_ratio_city_annual.sql</v>
          </cell>
          <cell r="C15" t="str">
            <v>ads_mgt_report_turnover_bed_to_staff_ratio_city_annual</v>
          </cell>
        </row>
        <row r="16">
          <cell r="B16" t="str">
            <v>bed_to_staff_ratio_city_weekly.sql</v>
          </cell>
          <cell r="C16" t="str">
            <v>ads_mgt_report_turnover_bed_to_staff_ratio_city_weekly</v>
          </cell>
        </row>
        <row r="17">
          <cell r="B17" t="str">
            <v>bed_to_staff_ratio_store_annual.sql</v>
          </cell>
          <cell r="C17" t="str">
            <v>ads_mgt_report_turnover_bed_to_staff_ratio_store_annual</v>
          </cell>
        </row>
        <row r="18">
          <cell r="B18" t="str">
            <v>bed_to_staff_ratio_weekly.sql</v>
          </cell>
          <cell r="C18" t="str">
            <v>ads_mgt_report_turnover_bed_to_staff_ratio_weekly</v>
          </cell>
        </row>
        <row r="19">
          <cell r="B19" t="str">
            <v>cash_flow_budget.sql</v>
          </cell>
          <cell r="C19" t="str">
            <v>ads_mgt_report_cashflow_cash_flow_budget</v>
          </cell>
        </row>
        <row r="20">
          <cell r="B20" t="str">
            <v>cash_flow_capital_safety_line.sql</v>
          </cell>
          <cell r="C20" t="str">
            <v>ads_mgt_report_cashflow_cash_flow_capital_safety_line</v>
          </cell>
        </row>
        <row r="21">
          <cell r="B21" t="str">
            <v>cash_flow_closing_warning.sql</v>
          </cell>
          <cell r="C21" t="str">
            <v>ads_mgt_report_cashflow_cash_flow_closing_warning</v>
          </cell>
        </row>
        <row r="22">
          <cell r="B22" t="str">
            <v>cash_flow_continuous_loss.sql</v>
          </cell>
          <cell r="C22" t="str">
            <v>ads_mgt_report_cashflow_cash_flow_continuous_loss</v>
          </cell>
        </row>
        <row r="23">
          <cell r="B23" t="str">
            <v>cash_flow_new_store_and_cashflow_operation.sql</v>
          </cell>
          <cell r="C23" t="str">
            <v>ads_mgt_report_cf_new_store_op</v>
          </cell>
        </row>
        <row r="24">
          <cell r="B24" t="str">
            <v>cash_flow_new_store_operation_status.sql</v>
          </cell>
          <cell r="C24" t="str">
            <v>ads_mgt_report_cashflow_cash_flow_new_store_operation_status</v>
          </cell>
        </row>
        <row r="25">
          <cell r="B25" t="str">
            <v>cash_flow_new_store_process.sql</v>
          </cell>
          <cell r="C25" t="str">
            <v>ads_mgt_report_cashflow_cash_flow_new_store_process</v>
          </cell>
        </row>
        <row r="26">
          <cell r="B26" t="str">
            <v>cash_flow_new_store_supply.sql</v>
          </cell>
          <cell r="C26" t="str">
            <v>ads_mgt_report_cashflow_cash_flow_new_store_supply</v>
          </cell>
        </row>
        <row r="27">
          <cell r="B27" t="str">
            <v>employee_output_standard_rate_city_monthly.sql</v>
          </cell>
          <cell r="C27" t="str">
            <v>ads_mgt_report_turnover_emp_out_std_rate_city_m</v>
          </cell>
        </row>
        <row r="28">
          <cell r="B28" t="str">
            <v>employee_output_standard_rate_monthly.sql</v>
          </cell>
          <cell r="C28" t="str">
            <v>ads_mgt_report_turnover_employee_output_standard_rate_monthly</v>
          </cell>
        </row>
        <row r="29">
          <cell r="B29" t="str">
            <v>employee_output_standard_rate_store_monthly.sql</v>
          </cell>
          <cell r="C29" t="str">
            <v>ads_mgt_report_turnover_emp_out_std_rate_store_m</v>
          </cell>
        </row>
        <row r="30">
          <cell r="B30" t="str">
            <v>member_churn_rate_city_monthly_yoy.sql</v>
          </cell>
          <cell r="C30" t="str">
            <v>ads_mgt_report_turnover_member_churn_rate_city_monthly_yoy</v>
          </cell>
        </row>
        <row r="31">
          <cell r="B31" t="str">
            <v>member_churn_rate_monthly_yoy.sql</v>
          </cell>
          <cell r="C31" t="str">
            <v>ads_mgt_report_turnover_member_churn_rate_monthly_yoy</v>
          </cell>
        </row>
        <row r="32">
          <cell r="B32" t="str">
            <v>member_churn_rate_store_monthly_yoy.sql</v>
          </cell>
          <cell r="C32" t="str">
            <v>ads_mgt_report_turnover_member_churn_rate_store_monthly_yoy</v>
          </cell>
        </row>
        <row r="33">
          <cell r="B33" t="str">
            <v>profit_store_detail_monthly.sql</v>
          </cell>
          <cell r="C33" t="str">
            <v>ads_mgt_report_profit_profit_store_detail_monthly</v>
          </cell>
        </row>
        <row r="34">
          <cell r="B34" t="str">
            <v>profit_weekly.sql</v>
          </cell>
          <cell r="C34" t="str">
            <v>ads_mgt_report_profit_profit_weekly</v>
          </cell>
        </row>
        <row r="35">
          <cell r="B35" t="str">
            <v>profit_yearly.sql</v>
          </cell>
          <cell r="C35" t="str">
            <v>ads_mgt_report_profit_profit_yearly</v>
          </cell>
        </row>
        <row r="36">
          <cell r="B36" t="str">
            <v>repurchase_rate_annual_yoy.sql</v>
          </cell>
          <cell r="C36" t="str">
            <v>ads_mgt_report_turnover_repurchase_rate_annual_yoy</v>
          </cell>
        </row>
        <row r="37">
          <cell r="B37" t="str">
            <v>repurchase_rate_weekly_yoy.sql</v>
          </cell>
          <cell r="C37" t="str">
            <v>ads_mgt_report_turnover_repurchase_rate_weekly_yoy</v>
          </cell>
        </row>
        <row r="38">
          <cell r="B38" t="str">
            <v>repurchase_rate_city_weekly_yoy.sql</v>
          </cell>
          <cell r="C38" t="str">
            <v>ads_mgt_report_turnover_repurchase_rate_city_weekly_yoy</v>
          </cell>
        </row>
        <row r="39">
          <cell r="B39" t="str">
            <v>repurchase_rate_store_weekly_yoy.sql</v>
          </cell>
          <cell r="C39" t="str">
            <v>ads_mgt_report_turnover_repurchase_rate_store_weekly_yoy</v>
          </cell>
        </row>
        <row r="40">
          <cell r="B40" t="str">
            <v>staff_avg_daily_service_duration_city_monthly_yoy.sql</v>
          </cell>
          <cell r="C40" t="str">
            <v>ads_mgt_report_turnover_staff_avg_svc_dur_city_m_yoy</v>
          </cell>
        </row>
        <row r="41">
          <cell r="B41" t="str">
            <v>staff_avg_daily_service_duration_monthly_yoy.sql</v>
          </cell>
          <cell r="C41" t="str">
            <v>ads_mgt_report_turnover_staff_avg_svc_dur_m_yoy</v>
          </cell>
        </row>
        <row r="42">
          <cell r="B42" t="str">
            <v>staff_avg_daily_service_duration_store_monthly_yoy.sql</v>
          </cell>
          <cell r="C42" t="str">
            <v>ads_mgt_report_turnover_staff_avg_svc_dur_store_m_yoy</v>
          </cell>
        </row>
        <row r="43">
          <cell r="B43" t="str">
            <v>staff_return_compliance_annual.sql</v>
          </cell>
          <cell r="C43" t="str">
            <v>ads_mgt_report_turnover_staff_return_compliance_annual</v>
          </cell>
        </row>
        <row r="44">
          <cell r="B44" t="str">
            <v>staff_return_compliance_city_annual.sql</v>
          </cell>
          <cell r="C44" t="str">
            <v>ads_mgt_report_turnover_staff_return_compliance_city_annual</v>
          </cell>
        </row>
        <row r="45">
          <cell r="B45" t="str">
            <v>staff_return_compliance_city_monthly.sql</v>
          </cell>
          <cell r="C45" t="str">
            <v>ads_mgt_report_turnover_staff_return_compliance_city_monthly</v>
          </cell>
        </row>
        <row r="46">
          <cell r="B46" t="str">
            <v>staff_return_compliance_monthly.sql</v>
          </cell>
          <cell r="C46" t="str">
            <v>ads_mgt_report_turnover_staff_return_compliance_monthly</v>
          </cell>
        </row>
        <row r="47">
          <cell r="B47" t="str">
            <v>staff_return_compliance_store_annual.sql</v>
          </cell>
          <cell r="C47" t="str">
            <v>ads_mgt_report_turnover_staff_return_compliance_store_annual</v>
          </cell>
        </row>
        <row r="48">
          <cell r="B48" t="str">
            <v>staff_service_duration_below_standard_city_monthly.sql</v>
          </cell>
          <cell r="C48" t="str">
            <v>ads_mgt_report_turnover_staff_svc_dur_below_std_city_m</v>
          </cell>
        </row>
        <row r="49">
          <cell r="B49" t="str">
            <v>staff_service_duration_below_standard_monthly.sql</v>
          </cell>
          <cell r="C49" t="str">
            <v>ads_mgt_report_turnover_staff_svc_dur_below_std_m</v>
          </cell>
        </row>
        <row r="50">
          <cell r="B50" t="str">
            <v>staff_service_duration_below_standard_store_monthly.sql</v>
          </cell>
          <cell r="C50" t="str">
            <v>ads_mgt_report_turnover_staff_svc_dur_below_std_store_m</v>
          </cell>
        </row>
        <row r="51">
          <cell r="B51" t="str">
            <v>turnover_city_actual_target.sql</v>
          </cell>
          <cell r="C51" t="str">
            <v>ads_mgt_report_turnover_turnover_city_actual_target</v>
          </cell>
        </row>
        <row r="52">
          <cell r="B52" t="str">
            <v>turnover_overview.sql</v>
          </cell>
          <cell r="C52" t="str">
            <v>ads_mgt_report_turnover_turnover_overview</v>
          </cell>
        </row>
        <row r="53">
          <cell r="B53" t="str">
            <v>turnover_weekly_avg_per_day_yoy.sql</v>
          </cell>
          <cell r="C53" t="str">
            <v>ads_mgt_report_turnover_turnover_weekly_avg_per_day_yoy</v>
          </cell>
        </row>
        <row r="54">
          <cell r="B54" t="str">
            <v>turnover_weekly_city_cum_yoy.sql</v>
          </cell>
          <cell r="C54" t="str">
            <v>ads_mgt_report_turnover_turnover_weekly_city_cum_yoy</v>
          </cell>
        </row>
        <row r="55">
          <cell r="B55" t="str">
            <v>turnover_weekly_city_per_day_yoy.sql</v>
          </cell>
          <cell r="C55" t="str">
            <v>ads_mgt_report_turnover_turnover_weekly_city_per_day_yoy</v>
          </cell>
        </row>
        <row r="56">
          <cell r="B56" t="str">
            <v>turnover_weekly_city_yoy.sql</v>
          </cell>
          <cell r="C56" t="str">
            <v>ads_mgt_report_turnover_turnover_weekly_city_yoy</v>
          </cell>
        </row>
        <row r="57">
          <cell r="B57" t="str">
            <v>turnover_weekly_cum_yoy.sql</v>
          </cell>
          <cell r="C57" t="str">
            <v>ads_mgt_report_turnover_turnover_weekly_cum_yoy</v>
          </cell>
        </row>
        <row r="58">
          <cell r="B58" t="str">
            <v>turnover_weekly_store_yoy.sql</v>
          </cell>
          <cell r="C58" t="str">
            <v>ads_mgt_report_turnover_turnover_weekly_store_yoy</v>
          </cell>
        </row>
        <row r="59">
          <cell r="B59" t="str">
            <v>turnover_weekly.sql</v>
          </cell>
          <cell r="C59" t="str">
            <v>ads_mgt_report_turnover_turnover_weekly</v>
          </cell>
        </row>
        <row r="60">
          <cell r="B60" t="str">
            <v>user_visit_count_annual.sql</v>
          </cell>
          <cell r="C60" t="str">
            <v>ads_mgt_report_turnover_user_visit_count_annual</v>
          </cell>
        </row>
        <row r="61">
          <cell r="B61" t="str">
            <v>user_visit_count_cum_monthly.sql</v>
          </cell>
          <cell r="C61" t="str">
            <v>ads_mgt_report_turnover_user_visit_count_cum_monthly</v>
          </cell>
        </row>
        <row r="62">
          <cell r="B62" t="str">
            <v>user_visit_count_daily_avg_visit_monthly.sql</v>
          </cell>
          <cell r="C62" t="str">
            <v>ads_mgt_report_turnover_user_visit_count_daily_avg_visit_monthly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2"/>
  <sheetViews>
    <sheetView tabSelected="1" topLeftCell="B1" zoomScale="130" zoomScaleNormal="130" workbookViewId="0">
      <selection activeCell="E41" sqref="E41"/>
    </sheetView>
  </sheetViews>
  <sheetFormatPr baseColWidth="10" defaultColWidth="65" defaultRowHeight="14"/>
  <cols>
    <col min="1" max="1" width="62.1640625" bestFit="1" customWidth="1"/>
    <col min="3" max="3" width="21.1640625" bestFit="1" customWidth="1"/>
    <col min="4" max="4" width="11.83203125" customWidth="1"/>
    <col min="5" max="5" width="72.1640625" bestFit="1" customWidth="1"/>
    <col min="6" max="6" width="25.33203125" bestFit="1" customWidth="1"/>
    <col min="7" max="7" width="29" bestFit="1" customWidth="1"/>
    <col min="8" max="8" width="11" customWidth="1"/>
    <col min="9" max="9" width="49.5" customWidth="1"/>
    <col min="10" max="10" width="65" customWidth="1"/>
  </cols>
  <sheetData>
    <row r="1" spans="1:8" s="1" customFormat="1">
      <c r="A1" s="1" t="s">
        <v>0</v>
      </c>
      <c r="B1" s="1" t="s">
        <v>126</v>
      </c>
      <c r="C1" s="1" t="s">
        <v>122</v>
      </c>
      <c r="F1" s="1" t="s">
        <v>125</v>
      </c>
      <c r="G1" s="1" t="s">
        <v>127</v>
      </c>
      <c r="H1" s="1" t="s">
        <v>123</v>
      </c>
    </row>
    <row r="2" spans="1:8" hidden="1">
      <c r="A2" t="s">
        <v>1</v>
      </c>
      <c r="B2" t="str">
        <f>VLOOKUP(A2,[1]SQL脚本清单!$B:$C,2,0)</f>
        <v>ads_mgt_report_turnover_active_review_rates_city_monthly_yoy</v>
      </c>
      <c r="C2">
        <v>135</v>
      </c>
      <c r="E2" t="s">
        <v>62</v>
      </c>
      <c r="F2">
        <v>0</v>
      </c>
      <c r="G2">
        <f>VLOOKUP(E2,B:C,2,0)</f>
        <v>0</v>
      </c>
      <c r="H2" t="b">
        <f>G2=F2</f>
        <v>1</v>
      </c>
    </row>
    <row r="3" spans="1:8" hidden="1">
      <c r="A3" t="s">
        <v>2</v>
      </c>
      <c r="B3" t="str">
        <f>VLOOKUP(A3,[1]SQL脚本清单!$B:$C,2,0)</f>
        <v>ads_mgt_report_turnover_active_review_rates_monthly_yoy</v>
      </c>
      <c r="C3">
        <v>14</v>
      </c>
      <c r="E3" t="s">
        <v>63</v>
      </c>
      <c r="F3">
        <v>0</v>
      </c>
      <c r="G3">
        <f t="shared" ref="G3:G62" si="0">VLOOKUP(E3,B:C,2,0)</f>
        <v>0</v>
      </c>
      <c r="H3" t="b">
        <f t="shared" ref="H3:H62" si="1">G3=F3</f>
        <v>1</v>
      </c>
    </row>
    <row r="4" spans="1:8" hidden="1">
      <c r="A4" t="s">
        <v>3</v>
      </c>
      <c r="B4" t="str">
        <f>VLOOKUP(A4,[1]SQL脚本清单!$B:$C,2,0)</f>
        <v>ads_mgt_report_turnover_active_review_rates_store_monthly_yoy</v>
      </c>
      <c r="C4">
        <v>3534</v>
      </c>
      <c r="E4" t="s">
        <v>64</v>
      </c>
      <c r="F4">
        <v>14</v>
      </c>
      <c r="G4">
        <f t="shared" si="0"/>
        <v>14</v>
      </c>
      <c r="H4" t="b">
        <f t="shared" si="1"/>
        <v>1</v>
      </c>
    </row>
    <row r="5" spans="1:8" hidden="1">
      <c r="A5" t="s">
        <v>4</v>
      </c>
      <c r="B5" t="str">
        <f>VLOOKUP(A5,[1]SQL脚本清单!$B:$C,2,0)</f>
        <v>ads_mgt_report_turnover_active_user_city_monthly_yoy</v>
      </c>
      <c r="C5">
        <v>126</v>
      </c>
      <c r="E5" t="s">
        <v>65</v>
      </c>
      <c r="F5">
        <v>14</v>
      </c>
      <c r="G5">
        <f t="shared" si="0"/>
        <v>14</v>
      </c>
      <c r="H5" t="b">
        <f t="shared" si="1"/>
        <v>1</v>
      </c>
    </row>
    <row r="6" spans="1:8">
      <c r="A6" t="s">
        <v>5</v>
      </c>
      <c r="B6" t="str">
        <f>VLOOKUP(A6,[1]SQL脚本清单!$B:$C,2,0)</f>
        <v>ads_mgt_report_turnover_active_user_monthly_yoy</v>
      </c>
      <c r="C6">
        <v>14</v>
      </c>
      <c r="E6" t="s">
        <v>124</v>
      </c>
      <c r="F6">
        <v>2620</v>
      </c>
      <c r="G6">
        <f t="shared" si="0"/>
        <v>2762</v>
      </c>
      <c r="H6" t="b">
        <f t="shared" si="1"/>
        <v>0</v>
      </c>
    </row>
    <row r="7" spans="1:8" hidden="1">
      <c r="A7" t="s">
        <v>6</v>
      </c>
      <c r="B7" t="str">
        <f>VLOOKUP(A7,[1]SQL脚本清单!$B:$C,2,0)</f>
        <v>ads_mgt_report_turnover_active_user_store_monthly_yoy</v>
      </c>
      <c r="C7">
        <v>2621</v>
      </c>
      <c r="E7" t="s">
        <v>66</v>
      </c>
      <c r="F7">
        <v>14</v>
      </c>
      <c r="G7">
        <f t="shared" si="0"/>
        <v>14</v>
      </c>
      <c r="H7" t="b">
        <f t="shared" si="1"/>
        <v>1</v>
      </c>
    </row>
    <row r="8" spans="1:8" hidden="1">
      <c r="A8" t="s">
        <v>7</v>
      </c>
      <c r="B8" t="str">
        <f>VLOOKUP(A8,[1]SQL脚本清单!$B:$C,2,0)</f>
        <v>ads_mgt_report_turnover_avg_order_value_annual_yoy</v>
      </c>
      <c r="C8">
        <v>4</v>
      </c>
      <c r="E8" t="s">
        <v>67</v>
      </c>
      <c r="F8">
        <v>58</v>
      </c>
      <c r="G8">
        <f t="shared" si="0"/>
        <v>58</v>
      </c>
      <c r="H8" t="b">
        <f t="shared" si="1"/>
        <v>1</v>
      </c>
    </row>
    <row r="9" spans="1:8" hidden="1">
      <c r="A9" t="s">
        <v>8</v>
      </c>
      <c r="B9" t="str">
        <f>VLOOKUP(A9,[1]SQL脚本清单!$B:$C,2,0)</f>
        <v>ads_mgt_report_turnover_avg_order_value_city_annual_yoy</v>
      </c>
      <c r="C9">
        <v>38</v>
      </c>
      <c r="E9" t="s">
        <v>68</v>
      </c>
      <c r="F9">
        <v>58</v>
      </c>
      <c r="G9">
        <f t="shared" si="0"/>
        <v>58</v>
      </c>
      <c r="H9" t="b">
        <f t="shared" si="1"/>
        <v>1</v>
      </c>
    </row>
    <row r="10" spans="1:8" hidden="1">
      <c r="A10" t="s">
        <v>9</v>
      </c>
      <c r="B10" t="str">
        <f>VLOOKUP(A10,[1]SQL脚本清单!$B:$C,2,0)</f>
        <v>ads_mgt_report_turnover_avg_order_value_city_weekly_ytd_yoy</v>
      </c>
      <c r="C10">
        <v>561</v>
      </c>
      <c r="E10" t="s">
        <v>69</v>
      </c>
      <c r="F10">
        <v>58</v>
      </c>
      <c r="G10">
        <f t="shared" si="0"/>
        <v>58</v>
      </c>
      <c r="H10" t="b">
        <f t="shared" si="1"/>
        <v>1</v>
      </c>
    </row>
    <row r="11" spans="1:8" hidden="1">
      <c r="A11" t="s">
        <v>10</v>
      </c>
      <c r="B11" t="str">
        <f>VLOOKUP(A11,[1]SQL脚本清单!$B:$C,2,0)</f>
        <v>ads_mgt_report_turnover_avg_order_value_store_weekly_ytd_yoy</v>
      </c>
      <c r="C11">
        <v>20059</v>
      </c>
      <c r="E11" t="s">
        <v>70</v>
      </c>
      <c r="F11">
        <v>58</v>
      </c>
      <c r="G11">
        <f t="shared" si="0"/>
        <v>58</v>
      </c>
      <c r="H11" t="b">
        <f t="shared" si="1"/>
        <v>1</v>
      </c>
    </row>
    <row r="12" spans="1:8" hidden="1">
      <c r="A12" t="s">
        <v>11</v>
      </c>
      <c r="B12" t="str">
        <f>VLOOKUP(A12,[1]SQL脚本清单!$B:$C,2,0)</f>
        <v>ads_mgt_report_turnover_avg_order_value_weekly_yoy</v>
      </c>
      <c r="C12">
        <v>58</v>
      </c>
      <c r="E12" t="s">
        <v>71</v>
      </c>
      <c r="F12">
        <v>18</v>
      </c>
      <c r="G12">
        <f t="shared" si="0"/>
        <v>18</v>
      </c>
      <c r="H12" t="b">
        <f t="shared" si="1"/>
        <v>1</v>
      </c>
    </row>
    <row r="13" spans="1:8" hidden="1">
      <c r="A13" t="s">
        <v>12</v>
      </c>
      <c r="B13" t="str">
        <f>VLOOKUP(A13,[1]SQL脚本清单!$B:$C,2,0)</f>
        <v>ads_mgt_report_turnover_avg_order_value_weekly_ytd_yoy</v>
      </c>
      <c r="C13">
        <v>58</v>
      </c>
      <c r="E13" t="s">
        <v>72</v>
      </c>
      <c r="F13">
        <v>20</v>
      </c>
      <c r="G13">
        <f t="shared" si="0"/>
        <v>20</v>
      </c>
      <c r="H13" t="b">
        <f t="shared" si="1"/>
        <v>1</v>
      </c>
    </row>
    <row r="14" spans="1:8" hidden="1">
      <c r="A14" t="s">
        <v>13</v>
      </c>
      <c r="B14" t="str">
        <f>VLOOKUP(A14,[1]SQL脚本清单!$B:$C,2,0)</f>
        <v>ads_mgt_report_turnover_bed_to_staff_ratio_annual</v>
      </c>
      <c r="C14">
        <v>2</v>
      </c>
      <c r="E14" t="s">
        <v>73</v>
      </c>
      <c r="F14">
        <v>80</v>
      </c>
      <c r="G14">
        <f t="shared" si="0"/>
        <v>80</v>
      </c>
      <c r="H14" t="b">
        <f t="shared" si="1"/>
        <v>1</v>
      </c>
    </row>
    <row r="15" spans="1:8">
      <c r="A15" t="s">
        <v>14</v>
      </c>
      <c r="B15" t="str">
        <f>VLOOKUP(A15,[1]SQL脚本清单!$B:$C,2,0)</f>
        <v>ads_mgt_report_turnover_bed_to_staff_ratio_city_annual</v>
      </c>
      <c r="C15">
        <v>18</v>
      </c>
      <c r="E15" t="s">
        <v>74</v>
      </c>
      <c r="F15">
        <v>126</v>
      </c>
      <c r="G15">
        <f t="shared" si="0"/>
        <v>139</v>
      </c>
      <c r="H15" t="b">
        <f t="shared" si="1"/>
        <v>0</v>
      </c>
    </row>
    <row r="16" spans="1:8" hidden="1">
      <c r="A16" t="s">
        <v>15</v>
      </c>
      <c r="B16" t="str">
        <f>VLOOKUP(A16,[1]SQL脚本清单!$B:$C,2,0)</f>
        <v>ads_mgt_report_turnover_bed_to_staff_ratio_city_weekly</v>
      </c>
      <c r="C16">
        <v>468</v>
      </c>
      <c r="E16" t="s">
        <v>75</v>
      </c>
      <c r="F16">
        <v>14</v>
      </c>
      <c r="G16">
        <f t="shared" si="0"/>
        <v>14</v>
      </c>
      <c r="H16" t="b">
        <f t="shared" si="1"/>
        <v>1</v>
      </c>
    </row>
    <row r="17" spans="1:8" hidden="1">
      <c r="A17" t="s">
        <v>16</v>
      </c>
      <c r="B17" t="str">
        <f>VLOOKUP(A17,[1]SQL脚本清单!$B:$C,2,0)</f>
        <v>ads_mgt_report_turnover_bed_to_staff_ratio_store_annual</v>
      </c>
      <c r="C17">
        <v>198</v>
      </c>
      <c r="E17" t="s">
        <v>76</v>
      </c>
      <c r="F17">
        <v>126</v>
      </c>
      <c r="G17">
        <f t="shared" si="0"/>
        <v>126</v>
      </c>
      <c r="H17" t="b">
        <f t="shared" si="1"/>
        <v>1</v>
      </c>
    </row>
    <row r="18" spans="1:8" hidden="1">
      <c r="A18" t="s">
        <v>17</v>
      </c>
      <c r="B18" t="str">
        <f>VLOOKUP(A18,[1]SQL脚本清单!$B:$C,2,0)</f>
        <v>ads_mgt_report_turnover_bed_to_staff_ratio_weekly</v>
      </c>
      <c r="C18">
        <v>58</v>
      </c>
      <c r="E18" t="s">
        <v>77</v>
      </c>
      <c r="F18">
        <v>3</v>
      </c>
      <c r="G18">
        <f t="shared" si="0"/>
        <v>3</v>
      </c>
      <c r="H18" t="b">
        <f t="shared" si="1"/>
        <v>1</v>
      </c>
    </row>
    <row r="19" spans="1:8">
      <c r="A19" t="s">
        <v>18</v>
      </c>
      <c r="B19" t="str">
        <f>VLOOKUP(A19,[1]SQL脚本清单!$B:$C,2,0)</f>
        <v>ads_mgt_report_cashflow_cash_flow_budget</v>
      </c>
      <c r="C19">
        <v>108</v>
      </c>
      <c r="E19" t="s">
        <v>78</v>
      </c>
      <c r="F19">
        <v>984</v>
      </c>
      <c r="G19">
        <f t="shared" si="0"/>
        <v>1076</v>
      </c>
      <c r="H19" t="b">
        <f t="shared" si="1"/>
        <v>0</v>
      </c>
    </row>
    <row r="20" spans="1:8" hidden="1">
      <c r="A20" t="s">
        <v>19</v>
      </c>
      <c r="B20" t="str">
        <f>VLOOKUP(A20,[1]SQL脚本清单!$B:$C,2,0)</f>
        <v>ads_mgt_report_cashflow_cash_flow_capital_safety_line</v>
      </c>
      <c r="C20">
        <v>10</v>
      </c>
      <c r="E20" t="s">
        <v>79</v>
      </c>
      <c r="F20">
        <v>2</v>
      </c>
      <c r="G20">
        <f t="shared" si="0"/>
        <v>2</v>
      </c>
      <c r="H20" t="b">
        <f t="shared" si="1"/>
        <v>1</v>
      </c>
    </row>
    <row r="21" spans="1:8" hidden="1">
      <c r="A21" t="s">
        <v>20</v>
      </c>
      <c r="B21" t="str">
        <f>VLOOKUP(A21,[1]SQL脚本清单!$B:$C,2,0)</f>
        <v>ads_mgt_report_cashflow_cash_flow_closing_warning</v>
      </c>
      <c r="C21">
        <v>0</v>
      </c>
      <c r="E21" t="s">
        <v>80</v>
      </c>
      <c r="F21">
        <v>126</v>
      </c>
      <c r="G21">
        <f t="shared" si="0"/>
        <v>126</v>
      </c>
      <c r="H21" t="b">
        <f t="shared" si="1"/>
        <v>1</v>
      </c>
    </row>
    <row r="22" spans="1:8" hidden="1">
      <c r="A22" t="s">
        <v>21</v>
      </c>
      <c r="B22" t="str">
        <f>VLOOKUP(A22,[1]SQL脚本清单!$B:$C,2,0)</f>
        <v>ads_mgt_report_cashflow_cash_flow_continuous_loss</v>
      </c>
      <c r="C22">
        <v>0</v>
      </c>
      <c r="E22" t="s">
        <v>81</v>
      </c>
      <c r="F22">
        <v>312</v>
      </c>
      <c r="G22">
        <f t="shared" si="0"/>
        <v>312</v>
      </c>
      <c r="H22" t="b">
        <f t="shared" si="1"/>
        <v>1</v>
      </c>
    </row>
    <row r="23" spans="1:8">
      <c r="A23" t="s">
        <v>22</v>
      </c>
      <c r="B23" t="str">
        <f>VLOOKUP(A23,[1]SQL脚本清单!$B:$C,2,0)</f>
        <v>ads_mgt_report_cf_new_store_op</v>
      </c>
      <c r="C23">
        <v>20</v>
      </c>
      <c r="E23" t="s">
        <v>82</v>
      </c>
      <c r="F23">
        <v>2621</v>
      </c>
      <c r="G23">
        <f t="shared" si="0"/>
        <v>3534</v>
      </c>
      <c r="H23" t="b">
        <f t="shared" si="1"/>
        <v>0</v>
      </c>
    </row>
    <row r="24" spans="1:8">
      <c r="A24" t="s">
        <v>23</v>
      </c>
      <c r="B24" t="str">
        <f>VLOOKUP(A24,[1]SQL脚本清单!$B:$C,2,0)</f>
        <v>ads_mgt_report_cashflow_cash_flow_new_store_operation_status</v>
      </c>
      <c r="C24">
        <v>3</v>
      </c>
      <c r="E24" t="s">
        <v>83</v>
      </c>
      <c r="F24">
        <v>522</v>
      </c>
      <c r="G24">
        <f t="shared" si="0"/>
        <v>58</v>
      </c>
      <c r="H24" t="b">
        <f t="shared" si="1"/>
        <v>0</v>
      </c>
    </row>
    <row r="25" spans="1:8">
      <c r="A25" t="s">
        <v>24</v>
      </c>
      <c r="B25" t="str">
        <f>VLOOKUP(A25,[1]SQL脚本清单!$B:$C,2,0)</f>
        <v>ads_mgt_report_cashflow_cash_flow_new_store_process</v>
      </c>
      <c r="C25">
        <v>80</v>
      </c>
      <c r="E25" t="s">
        <v>84</v>
      </c>
      <c r="F25">
        <v>522</v>
      </c>
      <c r="G25">
        <f t="shared" si="0"/>
        <v>58</v>
      </c>
      <c r="H25" t="b">
        <f t="shared" si="1"/>
        <v>0</v>
      </c>
    </row>
    <row r="26" spans="1:8" hidden="1">
      <c r="A26" t="s">
        <v>25</v>
      </c>
      <c r="B26" t="str">
        <f>VLOOKUP(A26,[1]SQL脚本清单!$B:$C,2,0)</f>
        <v>ads_mgt_report_cashflow_cash_flow_new_store_supply</v>
      </c>
      <c r="C26">
        <v>4</v>
      </c>
      <c r="E26" t="s">
        <v>85</v>
      </c>
      <c r="F26">
        <v>126</v>
      </c>
      <c r="G26">
        <f t="shared" si="0"/>
        <v>126</v>
      </c>
      <c r="H26" t="b">
        <f t="shared" si="1"/>
        <v>1</v>
      </c>
    </row>
    <row r="27" spans="1:8" hidden="1">
      <c r="A27" t="s">
        <v>26</v>
      </c>
      <c r="B27" t="str">
        <f>VLOOKUP(A27,[1]SQL脚本清单!$B:$C,2,0)</f>
        <v>ads_mgt_report_turnover_emp_out_std_rate_city_m</v>
      </c>
      <c r="C27">
        <v>139</v>
      </c>
      <c r="E27" t="s">
        <v>86</v>
      </c>
      <c r="F27">
        <v>4</v>
      </c>
      <c r="G27">
        <f t="shared" si="0"/>
        <v>4</v>
      </c>
      <c r="H27" t="b">
        <f t="shared" si="1"/>
        <v>1</v>
      </c>
    </row>
    <row r="28" spans="1:8" hidden="1">
      <c r="A28" t="s">
        <v>27</v>
      </c>
      <c r="B28" t="str">
        <f>VLOOKUP(A28,[1]SQL脚本清单!$B:$C,2,0)</f>
        <v>ads_mgt_report_turnover_employee_output_standard_rate_monthly</v>
      </c>
      <c r="C28">
        <v>14</v>
      </c>
      <c r="E28" t="s">
        <v>87</v>
      </c>
      <c r="F28">
        <v>2</v>
      </c>
      <c r="G28">
        <f t="shared" si="0"/>
        <v>2</v>
      </c>
      <c r="H28" t="b">
        <f t="shared" si="1"/>
        <v>1</v>
      </c>
    </row>
    <row r="29" spans="1:8" hidden="1">
      <c r="A29" t="s">
        <v>28</v>
      </c>
      <c r="B29" t="str">
        <f>VLOOKUP(A29,[1]SQL脚本清单!$B:$C,2,0)</f>
        <v>ads_mgt_report_turnover_emp_out_std_rate_store_m</v>
      </c>
      <c r="C29">
        <v>2620</v>
      </c>
      <c r="E29" t="s">
        <v>88</v>
      </c>
      <c r="F29">
        <v>14</v>
      </c>
      <c r="G29">
        <f t="shared" si="0"/>
        <v>14</v>
      </c>
      <c r="H29" t="b">
        <f t="shared" si="1"/>
        <v>1</v>
      </c>
    </row>
    <row r="30" spans="1:8" hidden="1">
      <c r="A30" t="s">
        <v>29</v>
      </c>
      <c r="B30" t="str">
        <f>VLOOKUP(A30,[1]SQL脚本清单!$B:$C,2,0)</f>
        <v>ads_mgt_report_turnover_member_churn_rate_city_monthly_yoy</v>
      </c>
      <c r="C30">
        <v>126</v>
      </c>
      <c r="E30" t="s">
        <v>89</v>
      </c>
      <c r="F30">
        <v>198</v>
      </c>
      <c r="G30">
        <f t="shared" si="0"/>
        <v>198</v>
      </c>
      <c r="H30" t="b">
        <f t="shared" si="1"/>
        <v>1</v>
      </c>
    </row>
    <row r="31" spans="1:8" hidden="1">
      <c r="A31" t="s">
        <v>30</v>
      </c>
      <c r="B31" t="str">
        <f>VLOOKUP(A31,[1]SQL脚本清单!$B:$C,2,0)</f>
        <v>ads_mgt_report_turnover_member_churn_rate_monthly_yoy</v>
      </c>
      <c r="C31">
        <v>14</v>
      </c>
      <c r="E31" t="s">
        <v>90</v>
      </c>
      <c r="F31">
        <v>111</v>
      </c>
      <c r="G31">
        <f t="shared" si="0"/>
        <v>111</v>
      </c>
      <c r="H31" t="b">
        <f t="shared" si="1"/>
        <v>1</v>
      </c>
    </row>
    <row r="32" spans="1:8">
      <c r="A32" t="s">
        <v>31</v>
      </c>
      <c r="B32" t="str">
        <f>VLOOKUP(A32,[1]SQL脚本清单!$B:$C,2,0)</f>
        <v>ads_mgt_report_turnover_member_churn_rate_store_monthly_yoy</v>
      </c>
      <c r="C32">
        <v>2621</v>
      </c>
      <c r="E32" t="s">
        <v>91</v>
      </c>
      <c r="F32">
        <v>522</v>
      </c>
      <c r="G32">
        <f t="shared" si="0"/>
        <v>58</v>
      </c>
      <c r="H32" t="b">
        <f t="shared" si="1"/>
        <v>0</v>
      </c>
    </row>
    <row r="33" spans="1:8" hidden="1">
      <c r="A33" t="s">
        <v>32</v>
      </c>
      <c r="B33" t="str">
        <f>VLOOKUP(A33,[1]SQL脚本清单!$B:$C,2,0)</f>
        <v>ads_mgt_report_profit_profit_store_detail_monthly</v>
      </c>
      <c r="C33">
        <v>407</v>
      </c>
      <c r="E33" t="s">
        <v>92</v>
      </c>
      <c r="F33">
        <v>14</v>
      </c>
      <c r="G33">
        <f t="shared" si="0"/>
        <v>14</v>
      </c>
      <c r="H33" t="b">
        <f t="shared" si="1"/>
        <v>1</v>
      </c>
    </row>
    <row r="34" spans="1:8" hidden="1">
      <c r="A34" t="s">
        <v>33</v>
      </c>
      <c r="B34" t="str">
        <f>VLOOKUP(A34,[1]SQL脚本清单!$B:$C,2,0)</f>
        <v>ads_mgt_report_profit_profit_weekly</v>
      </c>
      <c r="C34">
        <v>14</v>
      </c>
      <c r="E34" t="s">
        <v>93</v>
      </c>
      <c r="F34">
        <v>14</v>
      </c>
      <c r="G34">
        <f t="shared" si="0"/>
        <v>14</v>
      </c>
      <c r="H34" t="b">
        <f t="shared" si="1"/>
        <v>1</v>
      </c>
    </row>
    <row r="35" spans="1:8" hidden="1">
      <c r="A35" t="s">
        <v>34</v>
      </c>
      <c r="B35" t="str">
        <f>VLOOKUP(A35,[1]SQL脚本清单!$B:$C,2,0)</f>
        <v>ads_mgt_report_profit_profit_yearly</v>
      </c>
      <c r="C35">
        <v>2</v>
      </c>
      <c r="E35" t="s">
        <v>94</v>
      </c>
      <c r="F35">
        <v>468</v>
      </c>
      <c r="G35">
        <f t="shared" si="0"/>
        <v>468</v>
      </c>
      <c r="H35" t="b">
        <f t="shared" si="1"/>
        <v>1</v>
      </c>
    </row>
    <row r="36" spans="1:8" hidden="1">
      <c r="A36" t="s">
        <v>35</v>
      </c>
      <c r="B36" t="str">
        <f>VLOOKUP(A36,[1]SQL脚本清单!$B:$C,2,0)</f>
        <v>ads_mgt_report_turnover_repurchase_rate_annual_yoy</v>
      </c>
      <c r="C36">
        <v>3</v>
      </c>
      <c r="E36" t="s">
        <v>95</v>
      </c>
      <c r="F36">
        <v>4</v>
      </c>
      <c r="G36">
        <f t="shared" si="0"/>
        <v>4</v>
      </c>
      <c r="H36" t="b">
        <f t="shared" si="1"/>
        <v>1</v>
      </c>
    </row>
    <row r="37" spans="1:8" hidden="1">
      <c r="A37" t="s">
        <v>36</v>
      </c>
      <c r="B37" t="str">
        <f>VLOOKUP(A37,[1]SQL脚本清单!$B:$C,2,0)</f>
        <v>ads_mgt_report_turnover_repurchase_rate_weekly_yoy</v>
      </c>
      <c r="C37">
        <v>111</v>
      </c>
      <c r="E37" t="s">
        <v>96</v>
      </c>
      <c r="F37">
        <v>14</v>
      </c>
      <c r="G37">
        <f t="shared" si="0"/>
        <v>14</v>
      </c>
      <c r="H37" t="b">
        <f t="shared" si="1"/>
        <v>1</v>
      </c>
    </row>
    <row r="38" spans="1:8" hidden="1">
      <c r="A38" t="s">
        <v>60</v>
      </c>
      <c r="B38" t="str">
        <f>VLOOKUP(A38,[1]SQL脚本清单!$B:$C,2,0)</f>
        <v>ads_mgt_report_turnover_repurchase_rate_city_weekly_yoy</v>
      </c>
      <c r="C38">
        <v>1076</v>
      </c>
      <c r="D38" s="2"/>
      <c r="E38" t="s">
        <v>97</v>
      </c>
      <c r="F38">
        <v>2621</v>
      </c>
      <c r="G38">
        <f t="shared" si="0"/>
        <v>2621</v>
      </c>
      <c r="H38" t="b">
        <f t="shared" si="1"/>
        <v>1</v>
      </c>
    </row>
    <row r="39" spans="1:8" hidden="1">
      <c r="A39" t="s">
        <v>61</v>
      </c>
      <c r="B39" t="str">
        <f>VLOOKUP(A39,[1]SQL脚本清单!$B:$C,2,0)</f>
        <v>ads_mgt_report_turnover_repurchase_rate_store_weekly_yoy</v>
      </c>
      <c r="C39">
        <v>198</v>
      </c>
      <c r="E39" t="s">
        <v>98</v>
      </c>
      <c r="F39">
        <v>58</v>
      </c>
      <c r="G39">
        <f t="shared" si="0"/>
        <v>58</v>
      </c>
      <c r="H39" t="b">
        <f t="shared" si="1"/>
        <v>1</v>
      </c>
    </row>
    <row r="40" spans="1:8" hidden="1">
      <c r="A40" t="s">
        <v>37</v>
      </c>
      <c r="B40" t="str">
        <f>VLOOKUP(A40,[1]SQL脚本清单!$B:$C,2,0)</f>
        <v>ads_mgt_report_turnover_staff_avg_svc_dur_city_m_yoy</v>
      </c>
      <c r="C40">
        <v>126</v>
      </c>
      <c r="E40" t="s">
        <v>99</v>
      </c>
      <c r="F40">
        <v>58</v>
      </c>
      <c r="G40">
        <f t="shared" si="0"/>
        <v>58</v>
      </c>
      <c r="H40" t="b">
        <f t="shared" si="1"/>
        <v>1</v>
      </c>
    </row>
    <row r="41" spans="1:8">
      <c r="A41" t="s">
        <v>38</v>
      </c>
      <c r="B41" t="str">
        <f>VLOOKUP(A41,[1]SQL脚本清单!$B:$C,2,0)</f>
        <v>ads_mgt_report_turnover_staff_avg_svc_dur_m_yoy</v>
      </c>
      <c r="C41">
        <v>14</v>
      </c>
      <c r="E41" t="s">
        <v>100</v>
      </c>
      <c r="F41">
        <v>10713</v>
      </c>
      <c r="G41">
        <f t="shared" si="0"/>
        <v>13230</v>
      </c>
      <c r="H41" t="b">
        <f t="shared" si="1"/>
        <v>0</v>
      </c>
    </row>
    <row r="42" spans="1:8">
      <c r="A42" t="s">
        <v>39</v>
      </c>
      <c r="B42" t="str">
        <f>VLOOKUP(A42,[1]SQL脚本清单!$B:$C,2,0)</f>
        <v>ads_mgt_report_turnover_staff_avg_svc_dur_store_m_yoy</v>
      </c>
      <c r="C42">
        <v>2762</v>
      </c>
      <c r="E42" t="s">
        <v>101</v>
      </c>
      <c r="F42">
        <v>10703</v>
      </c>
      <c r="G42">
        <f t="shared" si="0"/>
        <v>20059</v>
      </c>
      <c r="H42" t="b">
        <f t="shared" si="1"/>
        <v>0</v>
      </c>
    </row>
    <row r="43" spans="1:8">
      <c r="A43" t="s">
        <v>40</v>
      </c>
      <c r="B43" t="str">
        <f>VLOOKUP(A43,[1]SQL脚本清单!$B:$C,2,0)</f>
        <v>ads_mgt_report_turnover_staff_return_compliance_annual</v>
      </c>
      <c r="C43">
        <v>2</v>
      </c>
      <c r="E43" t="s">
        <v>102</v>
      </c>
      <c r="F43">
        <v>126</v>
      </c>
      <c r="G43">
        <f t="shared" si="0"/>
        <v>135</v>
      </c>
      <c r="H43" t="b">
        <f t="shared" si="1"/>
        <v>0</v>
      </c>
    </row>
    <row r="44" spans="1:8">
      <c r="A44" t="s">
        <v>41</v>
      </c>
      <c r="B44" t="str">
        <f>VLOOKUP(A44,[1]SQL脚本清单!$B:$C,2,0)</f>
        <v>ads_mgt_report_turnover_staff_return_compliance_city_annual</v>
      </c>
      <c r="C44">
        <v>18</v>
      </c>
      <c r="E44" t="s">
        <v>103</v>
      </c>
      <c r="F44">
        <v>18</v>
      </c>
      <c r="G44">
        <f t="shared" si="0"/>
        <v>19</v>
      </c>
      <c r="H44" t="b">
        <f t="shared" si="1"/>
        <v>0</v>
      </c>
    </row>
    <row r="45" spans="1:8" hidden="1">
      <c r="A45" t="s">
        <v>42</v>
      </c>
      <c r="B45" t="str">
        <f>VLOOKUP(A45,[1]SQL脚本清单!$B:$C,2,0)</f>
        <v>ads_mgt_report_turnover_staff_return_compliance_city_monthly</v>
      </c>
      <c r="C45">
        <v>126</v>
      </c>
      <c r="E45" t="s">
        <v>104</v>
      </c>
      <c r="F45">
        <v>14</v>
      </c>
      <c r="G45">
        <f t="shared" si="0"/>
        <v>14</v>
      </c>
      <c r="H45" t="b">
        <f t="shared" si="1"/>
        <v>1</v>
      </c>
    </row>
    <row r="46" spans="1:8" hidden="1">
      <c r="A46" t="s">
        <v>43</v>
      </c>
      <c r="B46" t="str">
        <f>VLOOKUP(A46,[1]SQL脚本清单!$B:$C,2,0)</f>
        <v>ads_mgt_report_turnover_staff_return_compliance_monthly</v>
      </c>
      <c r="C46">
        <v>14</v>
      </c>
      <c r="E46" t="s">
        <v>105</v>
      </c>
      <c r="F46">
        <v>14</v>
      </c>
      <c r="G46">
        <f t="shared" si="0"/>
        <v>14</v>
      </c>
      <c r="H46" t="b">
        <f t="shared" si="1"/>
        <v>1</v>
      </c>
    </row>
    <row r="47" spans="1:8" hidden="1">
      <c r="A47" t="s">
        <v>44</v>
      </c>
      <c r="B47" t="str">
        <f>VLOOKUP(A47,[1]SQL脚本清单!$B:$C,2,0)</f>
        <v>ads_mgt_report_turnover_staff_return_compliance_store_annual</v>
      </c>
      <c r="C47">
        <v>312</v>
      </c>
      <c r="E47" t="s">
        <v>106</v>
      </c>
      <c r="F47">
        <v>3</v>
      </c>
      <c r="G47">
        <f t="shared" si="0"/>
        <v>3</v>
      </c>
      <c r="H47" t="b">
        <f t="shared" si="1"/>
        <v>1</v>
      </c>
    </row>
    <row r="48" spans="1:8" hidden="1">
      <c r="A48" t="s">
        <v>45</v>
      </c>
      <c r="B48" t="str">
        <f>VLOOKUP(A48,[1]SQL脚本清单!$B:$C,2,0)</f>
        <v>ads_mgt_report_turnover_staff_svc_dur_below_std_city_m</v>
      </c>
      <c r="C48">
        <v>135</v>
      </c>
      <c r="E48" t="s">
        <v>107</v>
      </c>
      <c r="F48">
        <v>2621</v>
      </c>
      <c r="G48">
        <f t="shared" si="0"/>
        <v>2621</v>
      </c>
      <c r="H48" t="b">
        <f t="shared" si="1"/>
        <v>1</v>
      </c>
    </row>
    <row r="49" spans="1:8">
      <c r="A49" t="s">
        <v>46</v>
      </c>
      <c r="B49" t="str">
        <f>VLOOKUP(A49,[1]SQL脚本清单!$B:$C,2,0)</f>
        <v>ads_mgt_report_turnover_staff_svc_dur_below_std_m</v>
      </c>
      <c r="C49">
        <v>14</v>
      </c>
      <c r="E49" t="s">
        <v>108</v>
      </c>
      <c r="F49">
        <v>2606</v>
      </c>
      <c r="G49">
        <f t="shared" si="0"/>
        <v>2620</v>
      </c>
      <c r="H49" t="b">
        <f t="shared" si="1"/>
        <v>0</v>
      </c>
    </row>
    <row r="50" spans="1:8">
      <c r="A50" t="s">
        <v>47</v>
      </c>
      <c r="B50" t="str">
        <f>VLOOKUP(A50,[1]SQL脚本清单!$B:$C,2,0)</f>
        <v>ads_mgt_report_turnover_staff_svc_dur_below_std_store_m</v>
      </c>
      <c r="C50">
        <v>3534</v>
      </c>
      <c r="E50" t="s">
        <v>109</v>
      </c>
      <c r="F50">
        <v>197</v>
      </c>
      <c r="G50">
        <f t="shared" si="0"/>
        <v>198</v>
      </c>
      <c r="H50" t="b">
        <f t="shared" si="1"/>
        <v>0</v>
      </c>
    </row>
    <row r="51" spans="1:8" hidden="1">
      <c r="A51" t="s">
        <v>48</v>
      </c>
      <c r="B51" t="str">
        <f>VLOOKUP(A51,[1]SQL脚本清单!$B:$C,2,0)</f>
        <v>ads_mgt_report_turnover_turnover_city_actual_target</v>
      </c>
      <c r="C51">
        <v>19</v>
      </c>
      <c r="E51" t="s">
        <v>110</v>
      </c>
      <c r="F51">
        <v>108</v>
      </c>
      <c r="G51">
        <f t="shared" si="0"/>
        <v>108</v>
      </c>
      <c r="H51" t="b">
        <f t="shared" si="1"/>
        <v>1</v>
      </c>
    </row>
    <row r="52" spans="1:8" hidden="1">
      <c r="A52" t="s">
        <v>49</v>
      </c>
      <c r="B52" t="str">
        <f>VLOOKUP(A52,[1]SQL脚本清单!$B:$C,2,0)</f>
        <v>ads_mgt_report_turnover_turnover_overview</v>
      </c>
      <c r="C52">
        <v>3</v>
      </c>
      <c r="E52" t="s">
        <v>111</v>
      </c>
      <c r="F52">
        <v>10</v>
      </c>
      <c r="G52">
        <f t="shared" si="0"/>
        <v>10</v>
      </c>
      <c r="H52" t="b">
        <f t="shared" si="1"/>
        <v>1</v>
      </c>
    </row>
    <row r="53" spans="1:8" hidden="1">
      <c r="A53" t="s">
        <v>50</v>
      </c>
      <c r="B53" t="str">
        <f>VLOOKUP(A53,[1]SQL脚本清单!$B:$C,2,0)</f>
        <v>ads_mgt_report_turnover_turnover_weekly</v>
      </c>
      <c r="C53">
        <v>58</v>
      </c>
      <c r="E53" t="s">
        <v>112</v>
      </c>
      <c r="F53">
        <v>407</v>
      </c>
      <c r="G53">
        <f t="shared" si="0"/>
        <v>407</v>
      </c>
      <c r="H53" t="b">
        <f t="shared" si="1"/>
        <v>1</v>
      </c>
    </row>
    <row r="54" spans="1:8" hidden="1">
      <c r="A54" t="s">
        <v>51</v>
      </c>
      <c r="B54" t="str">
        <f>VLOOKUP(A54,[1]SQL脚本清单!$B:$C,2,0)</f>
        <v>ads_mgt_report_turnover_turnover_weekly_avg_per_day_yoy</v>
      </c>
      <c r="C54">
        <v>58</v>
      </c>
      <c r="E54" t="s">
        <v>113</v>
      </c>
      <c r="F54">
        <v>2</v>
      </c>
      <c r="G54">
        <f t="shared" si="0"/>
        <v>2</v>
      </c>
      <c r="H54" t="b">
        <f t="shared" si="1"/>
        <v>1</v>
      </c>
    </row>
    <row r="55" spans="1:8">
      <c r="A55" t="s">
        <v>52</v>
      </c>
      <c r="B55" t="str">
        <f>VLOOKUP(A55,[1]SQL脚本清单!$B:$C,2,0)</f>
        <v>ads_mgt_report_turnover_turnover_weekly_city_cum_yoy</v>
      </c>
      <c r="C55">
        <v>58</v>
      </c>
      <c r="E55" t="s">
        <v>114</v>
      </c>
      <c r="F55">
        <v>2621</v>
      </c>
      <c r="G55">
        <f t="shared" si="0"/>
        <v>3534</v>
      </c>
      <c r="H55" t="b">
        <f t="shared" si="1"/>
        <v>0</v>
      </c>
    </row>
    <row r="56" spans="1:8">
      <c r="A56" t="s">
        <v>53</v>
      </c>
      <c r="B56" t="str">
        <f>VLOOKUP(A56,[1]SQL脚本清单!$B:$C,2,0)</f>
        <v>ads_mgt_report_turnover_turnover_weekly_city_per_day_yoy</v>
      </c>
      <c r="C56">
        <v>58</v>
      </c>
      <c r="E56" t="s">
        <v>115</v>
      </c>
      <c r="F56">
        <v>35</v>
      </c>
      <c r="G56">
        <f t="shared" si="0"/>
        <v>38</v>
      </c>
      <c r="H56" t="b">
        <f t="shared" si="1"/>
        <v>0</v>
      </c>
    </row>
    <row r="57" spans="1:8">
      <c r="A57" t="s">
        <v>54</v>
      </c>
      <c r="B57" t="str">
        <f>VLOOKUP(A57,[1]SQL脚本清单!$B:$C,2,0)</f>
        <v>ads_mgt_report_turnover_turnover_weekly_city_yoy</v>
      </c>
      <c r="C57">
        <v>58</v>
      </c>
      <c r="E57" t="s">
        <v>116</v>
      </c>
      <c r="F57">
        <v>522</v>
      </c>
      <c r="G57">
        <f t="shared" si="0"/>
        <v>561</v>
      </c>
      <c r="H57" t="b">
        <f t="shared" si="1"/>
        <v>0</v>
      </c>
    </row>
    <row r="58" spans="1:8" hidden="1">
      <c r="A58" t="s">
        <v>55</v>
      </c>
      <c r="B58" t="str">
        <f>VLOOKUP(A58,[1]SQL脚本清单!$B:$C,2,0)</f>
        <v>ads_mgt_report_turnover_turnover_weekly_cum_yoy</v>
      </c>
      <c r="C58">
        <v>58</v>
      </c>
      <c r="E58" t="s">
        <v>117</v>
      </c>
      <c r="F58">
        <v>3</v>
      </c>
      <c r="G58">
        <f t="shared" si="0"/>
        <v>3</v>
      </c>
      <c r="H58" t="b">
        <f t="shared" si="1"/>
        <v>1</v>
      </c>
    </row>
    <row r="59" spans="1:8" hidden="1">
      <c r="A59" t="s">
        <v>56</v>
      </c>
      <c r="B59" t="str">
        <f>VLOOKUP(A59,[1]SQL脚本清单!$B:$C,2,0)</f>
        <v>ads_mgt_report_turnover_turnover_weekly_store_yoy</v>
      </c>
      <c r="C59">
        <v>13230</v>
      </c>
      <c r="E59" t="s">
        <v>118</v>
      </c>
      <c r="F59">
        <v>2</v>
      </c>
      <c r="G59">
        <f t="shared" si="0"/>
        <v>2</v>
      </c>
      <c r="H59" t="b">
        <f t="shared" si="1"/>
        <v>1</v>
      </c>
    </row>
    <row r="60" spans="1:8">
      <c r="A60" t="s">
        <v>57</v>
      </c>
      <c r="B60" t="str">
        <f>VLOOKUP(A60,[1]SQL脚本清单!$B:$C,2,0)</f>
        <v>ads_mgt_report_turnover_user_visit_count_annual</v>
      </c>
      <c r="C60">
        <v>2</v>
      </c>
      <c r="E60" t="s">
        <v>119</v>
      </c>
      <c r="F60">
        <v>126</v>
      </c>
      <c r="G60">
        <f t="shared" si="0"/>
        <v>135</v>
      </c>
      <c r="H60" t="b">
        <f t="shared" si="1"/>
        <v>0</v>
      </c>
    </row>
    <row r="61" spans="1:8" hidden="1">
      <c r="A61" t="s">
        <v>58</v>
      </c>
      <c r="B61" t="str">
        <f>VLOOKUP(A61,[1]SQL脚本清单!$B:$C,2,0)</f>
        <v>ads_mgt_report_turnover_user_visit_count_cum_monthly</v>
      </c>
      <c r="C61">
        <v>14</v>
      </c>
      <c r="E61" t="s">
        <v>120</v>
      </c>
      <c r="F61">
        <v>18</v>
      </c>
      <c r="G61">
        <f t="shared" si="0"/>
        <v>18</v>
      </c>
      <c r="H61" t="b">
        <f t="shared" si="1"/>
        <v>1</v>
      </c>
    </row>
    <row r="62" spans="1:8" hidden="1">
      <c r="A62" t="s">
        <v>59</v>
      </c>
      <c r="B62" t="str">
        <f>VLOOKUP(A62,[1]SQL脚本清单!$B:$C,2,0)</f>
        <v>ads_mgt_report_turnover_user_visit_count_daily_avg_visit_monthly</v>
      </c>
      <c r="C62">
        <v>14</v>
      </c>
      <c r="E62" t="s">
        <v>121</v>
      </c>
      <c r="F62">
        <v>126</v>
      </c>
      <c r="G62">
        <f t="shared" si="0"/>
        <v>126</v>
      </c>
      <c r="H62" t="b">
        <f t="shared" si="1"/>
        <v>1</v>
      </c>
    </row>
  </sheetData>
  <autoFilter ref="E1:H62" xr:uid="{00000000-0001-0000-0000-000000000000}">
    <filterColumn colId="3">
      <filters>
        <filter val="FALSE"/>
      </filters>
    </filterColumn>
  </autoFilter>
  <phoneticPr fontId="2" type="noConversion"/>
  <conditionalFormatting sqref="H1:H1048576">
    <cfRule type="cellIs" dxfId="0" priority="1" operator="equal">
      <formula>FALSE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Statistics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2026-02-14T03:35:17Z</dcterms:created>
  <dcterms:modified xsi:type="dcterms:W3CDTF">2026-02-14T04:16:55Z</dcterms:modified>
  <cp:category/>
</cp:coreProperties>
</file>